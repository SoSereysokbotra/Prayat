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Projec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;($#,##0.00);-"/>
    <numFmt numFmtId="165" formatCode="#,##0;(#,##0);-"/>
    <numFmt numFmtId="166" formatCode="0.0%;(0.0%);-"/>
    <numFmt numFmtId="167" formatCode="$#,##0;($#,##0);-"/>
    <numFmt numFmtId="168" formatCode="#,##0.0;(#,##0.0);-"/>
    <numFmt numFmtId="169" formatCode="0.0&quot;x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theme="1"/>
      <sz val="11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F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7" fillId="3" borderId="0" pivotButton="0" quotePrefix="0" xfId="0"/>
    <xf numFmtId="0" fontId="5" fillId="0" borderId="0" pivotButton="0" quotePrefix="0" xfId="0"/>
    <xf numFmtId="164" fontId="6" fillId="4" borderId="1" pivotButton="0" quotePrefix="0" xfId="0"/>
    <xf numFmtId="165" fontId="5" fillId="0" borderId="1" pivotButton="0" quotePrefix="0" xfId="0"/>
    <xf numFmtId="165" fontId="6" fillId="4" borderId="1" pivotButton="0" quotePrefix="0" xfId="0"/>
    <xf numFmtId="166" fontId="6" fillId="4" borderId="1" pivotButton="0" quotePrefix="0" xfId="0"/>
    <xf numFmtId="166" fontId="5" fillId="0" borderId="1" pivotButton="0" quotePrefix="0" xfId="0"/>
    <xf numFmtId="0" fontId="4" fillId="0" borderId="0" pivotButton="0" quotePrefix="0" xfId="0"/>
    <xf numFmtId="165" fontId="4" fillId="5" borderId="1" pivotButton="0" quotePrefix="0" xfId="0"/>
    <xf numFmtId="167" fontId="4" fillId="5" borderId="1" pivotButton="0" quotePrefix="0" xfId="0"/>
    <xf numFmtId="167" fontId="5" fillId="0" borderId="1" pivotButton="0" quotePrefix="0" xfId="0"/>
    <xf numFmtId="164" fontId="5" fillId="0" borderId="1" pivotButton="0" quotePrefix="0" xfId="0"/>
    <xf numFmtId="164" fontId="4" fillId="5" borderId="1" pivotButton="0" quotePrefix="0" xfId="0"/>
    <xf numFmtId="167" fontId="6" fillId="4" borderId="1" pivotButton="0" quotePrefix="0" xfId="0"/>
    <xf numFmtId="168" fontId="5" fillId="0" borderId="1" pivotButton="0" quotePrefix="0" xfId="0"/>
    <xf numFmtId="169" fontId="5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165" fontId="8" fillId="0" borderId="1" pivotButton="0" quotePrefix="0" xfId="0"/>
    <xf numFmtId="167" fontId="8" fillId="0" borderId="1" pivotButton="0" quotePrefix="0" xfId="0"/>
    <xf numFmtId="166" fontId="8" fillId="0" borderId="1" pivotButton="0" quotePrefix="0" xfId="0"/>
    <xf numFmtId="164" fontId="8" fillId="0" borderId="1" pivotButton="0" quotePrefix="0" xfId="0"/>
    <xf numFmtId="169" fontId="8" fillId="0" borderId="1" pivotButton="0" quotePrefix="0" xfId="0"/>
    <xf numFmtId="16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net profit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'Summary'!A8</f>
            </strRef>
          </tx>
          <spPr>
            <a:ln>
              <a:prstDash val="solid"/>
            </a:ln>
          </spPr>
          <cat>
            <numRef>
              <f>'Summary'!$B$4:$D$4</f>
            </numRef>
          </cat>
          <val>
            <numRef>
              <f>'Summary'!$B$8:$D$8</f>
            </numRef>
          </val>
        </ser>
        <ser>
          <idx val="1"/>
          <order val="1"/>
          <tx>
            <strRef>
              <f>'Summary'!A14</f>
            </strRef>
          </tx>
          <spPr>
            <a:ln>
              <a:prstDash val="solid"/>
            </a:ln>
          </spPr>
          <cat>
            <numRef>
              <f>'Summary'!$B$4:$D$4</f>
            </numRef>
          </cat>
          <val>
            <numRef>
              <f>'Summary'!$B$14:$D$14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62" customWidth="1" min="3" max="3"/>
    <col width="14" customWidth="1" min="4" max="4"/>
    <col width="14" customWidth="1" min="5" max="5"/>
    <col width="14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2" t="inlineStr">
        <is>
          <t>Prayat (ScamSim) — 3-Year Financial Projection</t>
        </is>
      </c>
      <c r="B2" s="1" t="n"/>
      <c r="C2" s="1" t="n"/>
      <c r="D2" s="1" t="n"/>
      <c r="E2" s="1" t="n"/>
      <c r="F2" s="1" t="n"/>
    </row>
    <row r="3">
      <c r="A3" s="3" t="inlineStr">
        <is>
          <t>Currency: USD. Two B2C tiers — Standard $1.50/month and Premium $2.50/month — plus a school licence. Blue text on yellow = editable assumption; black = formula; green = link to another sheet.</t>
        </is>
      </c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4" t="inlineStr">
        <is>
          <t>Section</t>
        </is>
      </c>
      <c r="B5" s="4" t="inlineStr">
        <is>
          <t>Assumption</t>
        </is>
      </c>
      <c r="C5" s="4" t="inlineStr">
        <is>
          <t>Formula / reference</t>
        </is>
      </c>
      <c r="D5" s="4" t="inlineStr">
        <is>
          <t>Year 1</t>
        </is>
      </c>
      <c r="E5" s="4" t="inlineStr">
        <is>
          <t>Year 2</t>
        </is>
      </c>
      <c r="F5" s="4" t="inlineStr">
        <is>
          <t>Year 3</t>
        </is>
      </c>
    </row>
    <row r="6">
      <c r="A6" s="5" t="inlineStr">
        <is>
          <t>Pricing</t>
        </is>
      </c>
      <c r="B6" s="6" t="n"/>
      <c r="C6" s="6" t="n"/>
      <c r="D6" s="6" t="n"/>
      <c r="E6" s="6" t="n"/>
      <c r="F6" s="6" t="n"/>
    </row>
    <row r="7">
      <c r="A7" s="1" t="n"/>
      <c r="B7" s="7" t="inlineStr">
        <is>
          <t>Standard subscription fee (per month)</t>
        </is>
      </c>
      <c r="C7" s="3" t="inlineStr">
        <is>
          <t>Tier 1 — individual, all modes, score tracking</t>
        </is>
      </c>
      <c r="D7" s="8" t="n">
        <v>1.5</v>
      </c>
      <c r="E7" s="8" t="n">
        <v>1.5</v>
      </c>
      <c r="F7" s="8" t="n">
        <v>1.5</v>
      </c>
    </row>
    <row r="8">
      <c r="A8" s="1" t="n"/>
      <c r="B8" s="7" t="inlineStr">
        <is>
          <t>Premium subscription fee (per month)</t>
        </is>
      </c>
      <c r="C8" s="3" t="inlineStr">
        <is>
          <t>Tier 2 — family plan (up to 4), parent dashboard, reports</t>
        </is>
      </c>
      <c r="D8" s="8" t="n">
        <v>2.5</v>
      </c>
      <c r="E8" s="8" t="n">
        <v>2.5</v>
      </c>
      <c r="F8" s="8" t="n">
        <v>2.5</v>
      </c>
    </row>
    <row r="9">
      <c r="A9" s="1" t="n"/>
      <c r="B9" s="7" t="inlineStr">
        <is>
          <t>School licence fee (per student per month)</t>
        </is>
      </c>
      <c r="C9" s="3" t="inlineStr">
        <is>
          <t>B2B — per-student licence, billed to the school</t>
        </is>
      </c>
      <c r="D9" s="8" t="n">
        <v>1.5</v>
      </c>
      <c r="E9" s="8" t="n">
        <v>1.5</v>
      </c>
      <c r="F9" s="8" t="n">
        <v>1.5</v>
      </c>
    </row>
    <row r="10">
      <c r="A10" s="1" t="n"/>
      <c r="B10" s="1" t="n"/>
      <c r="C10" s="1" t="n"/>
      <c r="D10" s="1" t="n"/>
      <c r="E10" s="1" t="n"/>
      <c r="F10" s="1" t="n"/>
    </row>
    <row r="11">
      <c r="A11" s="5" t="inlineStr">
        <is>
          <t>Standard tier — customers</t>
        </is>
      </c>
      <c r="B11" s="6" t="n"/>
      <c r="C11" s="6" t="n"/>
      <c r="D11" s="6" t="n"/>
      <c r="E11" s="6" t="n"/>
      <c r="F11" s="6" t="n"/>
    </row>
    <row r="12">
      <c r="A12" s="1" t="n"/>
      <c r="B12" s="7" t="inlineStr">
        <is>
          <t>Beginning Standard subscribers</t>
        </is>
      </c>
      <c r="C12" s="3" t="inlineStr">
        <is>
          <t>Year 1 input; later years link to prior ending</t>
        </is>
      </c>
      <c r="D12" s="9">
        <f>0</f>
        <v/>
      </c>
      <c r="E12" s="9">
        <f>D17</f>
        <v/>
      </c>
      <c r="F12" s="9">
        <f>E17</f>
        <v/>
      </c>
    </row>
    <row r="13">
      <c r="A13" s="1" t="n"/>
      <c r="B13" s="7" t="inlineStr">
        <is>
          <t>New Standard subscribers</t>
        </is>
      </c>
      <c r="C13" s="3" t="inlineStr">
        <is>
          <t>Acquisition assumption — parents, students, young adults (team estimate)</t>
        </is>
      </c>
      <c r="D13" s="10" t="n">
        <v>800</v>
      </c>
      <c r="E13" s="10" t="n">
        <v>2500</v>
      </c>
      <c r="F13" s="10" t="n">
        <v>6000</v>
      </c>
    </row>
    <row r="14">
      <c r="A14" s="1" t="n"/>
      <c r="B14" s="7" t="inlineStr">
        <is>
          <t>Monthly churn — Standard</t>
        </is>
      </c>
      <c r="C14" s="3" t="inlineStr">
        <is>
          <t>Subscribers lost / subscribers at start of month (team estimate, price-sensitive consumer app)</t>
        </is>
      </c>
      <c r="D14" s="11" t="n">
        <v>0.04</v>
      </c>
      <c r="E14" s="11" t="n">
        <v>0.03</v>
      </c>
      <c r="F14" s="11" t="n">
        <v>0.025</v>
      </c>
    </row>
    <row r="15">
      <c r="A15" s="1" t="n"/>
      <c r="B15" s="7" t="inlineStr">
        <is>
          <t>Annual churn — Standard</t>
        </is>
      </c>
      <c r="C15" s="3" t="inlineStr">
        <is>
          <t>1 - (1 - monthly churn)^12</t>
        </is>
      </c>
      <c r="D15" s="12">
        <f>1-(1-D14)^12</f>
        <v/>
      </c>
      <c r="E15" s="12">
        <f>1-(1-E14)^12</f>
        <v/>
      </c>
      <c r="F15" s="12">
        <f>1-(1-F14)^12</f>
        <v/>
      </c>
    </row>
    <row r="16">
      <c r="A16" s="1" t="n"/>
      <c r="B16" s="7" t="inlineStr">
        <is>
          <t>Standard subscribers lost</t>
        </is>
      </c>
      <c r="C16" s="3" t="inlineStr">
        <is>
          <t>(Beginning + 50% of new) x annual churn</t>
        </is>
      </c>
      <c r="D16" s="9">
        <f>(D12+D13*50%)*D15</f>
        <v/>
      </c>
      <c r="E16" s="9">
        <f>(E12+E13*50%)*E15</f>
        <v/>
      </c>
      <c r="F16" s="9">
        <f>(F12+F13*50%)*F15</f>
        <v/>
      </c>
    </row>
    <row r="17">
      <c r="A17" s="1" t="n"/>
      <c r="B17" s="13" t="inlineStr">
        <is>
          <t>Ending Standard subscribers</t>
        </is>
      </c>
      <c r="C17" s="3" t="inlineStr">
        <is>
          <t>Beginning + new - lost</t>
        </is>
      </c>
      <c r="D17" s="14">
        <f>D12+D13-D16</f>
        <v/>
      </c>
      <c r="E17" s="14">
        <f>E12+E13-E16</f>
        <v/>
      </c>
      <c r="F17" s="14">
        <f>F12+F13-F16</f>
        <v/>
      </c>
    </row>
    <row r="18">
      <c r="A18" s="1" t="n"/>
      <c r="B18" s="7" t="inlineStr">
        <is>
          <t>Average Standard subscribers</t>
        </is>
      </c>
      <c r="C18" s="3" t="inlineStr">
        <is>
          <t>(Beginning + ending) / 2</t>
        </is>
      </c>
      <c r="D18" s="9">
        <f>(D12+D17)/2</f>
        <v/>
      </c>
      <c r="E18" s="9">
        <f>(E12+E17)/2</f>
        <v/>
      </c>
      <c r="F18" s="9">
        <f>(F12+F17)/2</f>
        <v/>
      </c>
    </row>
    <row r="19">
      <c r="A19" s="1" t="n"/>
      <c r="B19" s="1" t="n"/>
      <c r="C19" s="1" t="n"/>
      <c r="D19" s="1" t="n"/>
      <c r="E19" s="1" t="n"/>
      <c r="F19" s="1" t="n"/>
    </row>
    <row r="20">
      <c r="A20" s="5" t="inlineStr">
        <is>
          <t>Premium tier — customers</t>
        </is>
      </c>
      <c r="B20" s="6" t="n"/>
      <c r="C20" s="6" t="n"/>
      <c r="D20" s="6" t="n"/>
      <c r="E20" s="6" t="n"/>
      <c r="F20" s="6" t="n"/>
    </row>
    <row r="21">
      <c r="A21" s="1" t="n"/>
      <c r="B21" s="7" t="inlineStr">
        <is>
          <t>Beginning Premium subscribers</t>
        </is>
      </c>
      <c r="C21" s="3" t="inlineStr">
        <is>
          <t>Year 1 input; later years link to prior ending</t>
        </is>
      </c>
      <c r="D21" s="9">
        <f>0</f>
        <v/>
      </c>
      <c r="E21" s="9">
        <f>D26</f>
        <v/>
      </c>
      <c r="F21" s="9">
        <f>E26</f>
        <v/>
      </c>
    </row>
    <row r="22">
      <c r="A22" s="1" t="n"/>
      <c r="B22" s="7" t="inlineStr">
        <is>
          <t>New Premium subscribers</t>
        </is>
      </c>
      <c r="C22" s="3" t="inlineStr">
        <is>
          <t>Acquisition assumption — families, adult children buying for parents (team estimate)</t>
        </is>
      </c>
      <c r="D22" s="10" t="n">
        <v>200</v>
      </c>
      <c r="E22" s="10" t="n">
        <v>700</v>
      </c>
      <c r="F22" s="10" t="n">
        <v>2000</v>
      </c>
    </row>
    <row r="23">
      <c r="A23" s="1" t="n"/>
      <c r="B23" s="7" t="inlineStr">
        <is>
          <t>Monthly churn — Premium</t>
        </is>
      </c>
      <c r="C23" s="3" t="inlineStr">
        <is>
          <t>Family plans churn less than individuals (team estimate)</t>
        </is>
      </c>
      <c r="D23" s="11" t="n">
        <v>0.03</v>
      </c>
      <c r="E23" s="11" t="n">
        <v>0.025</v>
      </c>
      <c r="F23" s="11" t="n">
        <v>0.02</v>
      </c>
    </row>
    <row r="24">
      <c r="A24" s="1" t="n"/>
      <c r="B24" s="7" t="inlineStr">
        <is>
          <t>Annual churn — Premium</t>
        </is>
      </c>
      <c r="C24" s="3" t="inlineStr">
        <is>
          <t>1 - (1 - monthly churn)^12</t>
        </is>
      </c>
      <c r="D24" s="12">
        <f>1-(1-D23)^12</f>
        <v/>
      </c>
      <c r="E24" s="12">
        <f>1-(1-E23)^12</f>
        <v/>
      </c>
      <c r="F24" s="12">
        <f>1-(1-F23)^12</f>
        <v/>
      </c>
    </row>
    <row r="25">
      <c r="A25" s="1" t="n"/>
      <c r="B25" s="7" t="inlineStr">
        <is>
          <t>Premium subscribers lost</t>
        </is>
      </c>
      <c r="C25" s="3" t="inlineStr">
        <is>
          <t>(Beginning + 50% of new) x annual churn</t>
        </is>
      </c>
      <c r="D25" s="9">
        <f>(D21+D22*50%)*D24</f>
        <v/>
      </c>
      <c r="E25" s="9">
        <f>(E21+E22*50%)*E24</f>
        <v/>
      </c>
      <c r="F25" s="9">
        <f>(F21+F22*50%)*F24</f>
        <v/>
      </c>
    </row>
    <row r="26">
      <c r="A26" s="1" t="n"/>
      <c r="B26" s="13" t="inlineStr">
        <is>
          <t>Ending Premium subscribers</t>
        </is>
      </c>
      <c r="C26" s="3" t="inlineStr">
        <is>
          <t>Beginning + new - lost</t>
        </is>
      </c>
      <c r="D26" s="14">
        <f>D21+D22-D25</f>
        <v/>
      </c>
      <c r="E26" s="14">
        <f>E21+E22-E25</f>
        <v/>
      </c>
      <c r="F26" s="14">
        <f>F21+F22-F25</f>
        <v/>
      </c>
    </row>
    <row r="27">
      <c r="A27" s="1" t="n"/>
      <c r="B27" s="7" t="inlineStr">
        <is>
          <t>Average Premium subscribers</t>
        </is>
      </c>
      <c r="C27" s="3" t="inlineStr">
        <is>
          <t>(Beginning + ending) / 2</t>
        </is>
      </c>
      <c r="D27" s="9">
        <f>(D21+D26)/2</f>
        <v/>
      </c>
      <c r="E27" s="9">
        <f>(E21+E26)/2</f>
        <v/>
      </c>
      <c r="F27" s="9">
        <f>(F21+F26)/2</f>
        <v/>
      </c>
    </row>
    <row r="28">
      <c r="A28" s="1" t="n"/>
      <c r="B28" s="1" t="n"/>
      <c r="C28" s="1" t="n"/>
      <c r="D28" s="1" t="n"/>
      <c r="E28" s="1" t="n"/>
      <c r="F28" s="1" t="n"/>
    </row>
    <row r="29">
      <c r="A29" s="5" t="inlineStr">
        <is>
          <t>School licence — students</t>
        </is>
      </c>
      <c r="B29" s="6" t="n"/>
      <c r="C29" s="6" t="n"/>
      <c r="D29" s="6" t="n"/>
      <c r="E29" s="6" t="n"/>
      <c r="F29" s="6" t="n"/>
    </row>
    <row r="30">
      <c r="A30" s="1" t="n"/>
      <c r="B30" s="7" t="inlineStr">
        <is>
          <t>Licensed students (average over the year)</t>
        </is>
      </c>
      <c r="C30" s="3" t="inlineStr">
        <is>
          <t>Pilot 1 school in Y1 (deck draft), then 4 and 10 schools (team estimate)</t>
        </is>
      </c>
      <c r="D30" s="10" t="n">
        <v>200</v>
      </c>
      <c r="E30" s="10" t="n">
        <v>800</v>
      </c>
      <c r="F30" s="10" t="n">
        <v>2000</v>
      </c>
    </row>
    <row r="31">
      <c r="A31" s="1" t="n"/>
      <c r="B31" s="1" t="n"/>
      <c r="C31" s="1" t="n"/>
      <c r="D31" s="1" t="n"/>
      <c r="E31" s="1" t="n"/>
      <c r="F31" s="1" t="n"/>
    </row>
    <row r="32">
      <c r="A32" s="5" t="inlineStr">
        <is>
          <t>All paying users</t>
        </is>
      </c>
      <c r="B32" s="6" t="n"/>
      <c r="C32" s="6" t="n"/>
      <c r="D32" s="6" t="n"/>
      <c r="E32" s="6" t="n"/>
      <c r="F32" s="6" t="n"/>
    </row>
    <row r="33">
      <c r="A33" s="1" t="n"/>
      <c r="B33" s="13" t="inlineStr">
        <is>
          <t>Ending B2C subscribers (Standard + Premium)</t>
        </is>
      </c>
      <c r="C33" s="3" t="inlineStr">
        <is>
          <t>Ending Standard + ending Premium</t>
        </is>
      </c>
      <c r="D33" s="14">
        <f>D17+D26</f>
        <v/>
      </c>
      <c r="E33" s="14">
        <f>E17+E26</f>
        <v/>
      </c>
      <c r="F33" s="14">
        <f>F17+F26</f>
        <v/>
      </c>
    </row>
    <row r="34">
      <c r="A34" s="1" t="n"/>
      <c r="B34" s="7" t="inlineStr">
        <is>
          <t>Average paying users (B2C + school)</t>
        </is>
      </c>
      <c r="C34" s="3" t="inlineStr">
        <is>
          <t>Average Standard + average Premium + licensed students</t>
        </is>
      </c>
      <c r="D34" s="9">
        <f>D18+D27+D30</f>
        <v/>
      </c>
      <c r="E34" s="9">
        <f>E18+E27+E30</f>
        <v/>
      </c>
      <c r="F34" s="9">
        <f>F18+F27+F30</f>
        <v/>
      </c>
    </row>
    <row r="35">
      <c r="A35" s="1" t="n"/>
      <c r="B35" s="13" t="inlineStr">
        <is>
          <t>Ending MRR</t>
        </is>
      </c>
      <c r="C35" s="3" t="inlineStr">
        <is>
          <t>Ending Standard x $1.50 + ending Premium x $2.50 + students x school fee</t>
        </is>
      </c>
      <c r="D35" s="15">
        <f>D17*D7+D26*D8+D30*D9</f>
        <v/>
      </c>
      <c r="E35" s="15">
        <f>E17*E7+E26*E8+E30*E9</f>
        <v/>
      </c>
      <c r="F35" s="15">
        <f>F17*F7+F26*F8+F30*F9</f>
        <v/>
      </c>
    </row>
    <row r="36">
      <c r="A36" s="1" t="n"/>
      <c r="B36" s="7" t="inlineStr">
        <is>
          <t>Ending ARR</t>
        </is>
      </c>
      <c r="C36" s="3" t="inlineStr">
        <is>
          <t>MRR x 12</t>
        </is>
      </c>
      <c r="D36" s="16">
        <f>D35*12</f>
        <v/>
      </c>
      <c r="E36" s="16">
        <f>E35*12</f>
        <v/>
      </c>
      <c r="F36" s="16">
        <f>F35*12</f>
        <v/>
      </c>
    </row>
    <row r="37">
      <c r="A37" s="1" t="n"/>
      <c r="B37" s="1" t="n"/>
      <c r="C37" s="1" t="n"/>
      <c r="D37" s="1" t="n"/>
      <c r="E37" s="1" t="n"/>
      <c r="F37" s="1" t="n"/>
    </row>
    <row r="38">
      <c r="A38" s="5" t="inlineStr">
        <is>
          <t>Sales Revenue</t>
        </is>
      </c>
      <c r="B38" s="6" t="n"/>
      <c r="C38" s="6" t="n"/>
      <c r="D38" s="6" t="n"/>
      <c r="E38" s="6" t="n"/>
      <c r="F38" s="6" t="n"/>
    </row>
    <row r="39">
      <c r="A39" s="1" t="n"/>
      <c r="B39" s="7" t="inlineStr">
        <is>
          <t>Standard revenue</t>
        </is>
      </c>
      <c r="C39" s="3" t="inlineStr">
        <is>
          <t>Average Standard subscribers x $1.50 x 12</t>
        </is>
      </c>
      <c r="D39" s="16">
        <f>D18*D7*12</f>
        <v/>
      </c>
      <c r="E39" s="16">
        <f>E18*E7*12</f>
        <v/>
      </c>
      <c r="F39" s="16">
        <f>F18*F7*12</f>
        <v/>
      </c>
    </row>
    <row r="40">
      <c r="A40" s="1" t="n"/>
      <c r="B40" s="7" t="inlineStr">
        <is>
          <t>Premium revenue</t>
        </is>
      </c>
      <c r="C40" s="3" t="inlineStr">
        <is>
          <t>Average Premium subscribers x $2.50 x 12</t>
        </is>
      </c>
      <c r="D40" s="16">
        <f>D27*D8*12</f>
        <v/>
      </c>
      <c r="E40" s="16">
        <f>E27*E8*12</f>
        <v/>
      </c>
      <c r="F40" s="16">
        <f>F27*F8*12</f>
        <v/>
      </c>
    </row>
    <row r="41">
      <c r="A41" s="1" t="n"/>
      <c r="B41" s="7" t="inlineStr">
        <is>
          <t>School licence revenue</t>
        </is>
      </c>
      <c r="C41" s="3" t="inlineStr">
        <is>
          <t>Licensed students x school fee x 12</t>
        </is>
      </c>
      <c r="D41" s="16">
        <f>D30*D9*12</f>
        <v/>
      </c>
      <c r="E41" s="16">
        <f>E30*E9*12</f>
        <v/>
      </c>
      <c r="F41" s="16">
        <f>F30*F9*12</f>
        <v/>
      </c>
    </row>
    <row r="42">
      <c r="A42" s="1" t="n"/>
      <c r="B42" s="13" t="inlineStr">
        <is>
          <t>Total recognized revenue</t>
        </is>
      </c>
      <c r="C42" s="3" t="inlineStr">
        <is>
          <t>Standard + Premium + school</t>
        </is>
      </c>
      <c r="D42" s="15">
        <f>SUM(D39:D41)</f>
        <v/>
      </c>
      <c r="E42" s="15">
        <f>SUM(E39:E41)</f>
        <v/>
      </c>
      <c r="F42" s="15">
        <f>SUM(F39:F41)</f>
        <v/>
      </c>
    </row>
    <row r="43">
      <c r="A43" s="1" t="n"/>
      <c r="B43" s="7" t="inlineStr">
        <is>
          <t>Revenue growth</t>
        </is>
      </c>
      <c r="C43" s="3" t="inlineStr">
        <is>
          <t>Current year / prior year - 1</t>
        </is>
      </c>
      <c r="D43" s="12">
        <f>""</f>
        <v/>
      </c>
      <c r="E43" s="12">
        <f>E42/D42-1</f>
        <v/>
      </c>
      <c r="F43" s="12">
        <f>F42/E42-1</f>
        <v/>
      </c>
    </row>
    <row r="44">
      <c r="A44" s="1" t="n"/>
      <c r="B44" s="7" t="inlineStr">
        <is>
          <t>Blended ARPU per user per month</t>
        </is>
      </c>
      <c r="C44" s="3" t="inlineStr">
        <is>
          <t>Total revenue / average paying users / 12</t>
        </is>
      </c>
      <c r="D44" s="17">
        <f>IF(D34=0,0,D42/D34/12)</f>
        <v/>
      </c>
      <c r="E44" s="17">
        <f>IF(E34=0,0,E42/E34/12)</f>
        <v/>
      </c>
      <c r="F44" s="17">
        <f>IF(F34=0,0,F42/F34/12)</f>
        <v/>
      </c>
    </row>
    <row r="45">
      <c r="A45" s="1" t="n"/>
      <c r="B45" s="7" t="inlineStr">
        <is>
          <t>Premium share of B2C subscribers</t>
        </is>
      </c>
      <c r="C45" s="3" t="inlineStr">
        <is>
          <t>Ending Premium / ending B2C</t>
        </is>
      </c>
      <c r="D45" s="12">
        <f>IF(D33=0,0,D26/D33)</f>
        <v/>
      </c>
      <c r="E45" s="12">
        <f>IF(E33=0,0,E26/E33)</f>
        <v/>
      </c>
      <c r="F45" s="12">
        <f>IF(F33=0,0,F26/F33)</f>
        <v/>
      </c>
    </row>
    <row r="46">
      <c r="A46" s="1" t="n"/>
      <c r="B46" s="1" t="n"/>
      <c r="C46" s="1" t="n"/>
      <c r="D46" s="1" t="n"/>
      <c r="E46" s="1" t="n"/>
      <c r="F46" s="1" t="n"/>
    </row>
    <row r="47">
      <c r="A47" s="5" t="inlineStr">
        <is>
          <t>COGS / Service Delivery</t>
        </is>
      </c>
      <c r="B47" s="6" t="n"/>
      <c r="C47" s="6" t="n"/>
      <c r="D47" s="6" t="n"/>
      <c r="E47" s="6" t="n"/>
      <c r="F47" s="6" t="n"/>
    </row>
    <row r="48">
      <c r="A48" s="1" t="n"/>
      <c r="B48" s="7" t="inlineStr">
        <is>
          <t>Hosting cost per user/month</t>
        </is>
      </c>
      <c r="C48" s="3" t="inlineStr">
        <is>
          <t>Render + SQLite today; scales down per user (team estimate)</t>
        </is>
      </c>
      <c r="D48" s="8" t="n">
        <v>0.04</v>
      </c>
      <c r="E48" s="8" t="n">
        <v>0.03</v>
      </c>
      <c r="F48" s="8" t="n">
        <v>0.025</v>
      </c>
    </row>
    <row r="49">
      <c r="A49" s="1" t="n"/>
      <c r="B49" s="7" t="inlineStr">
        <is>
          <t>AI dialogue cost per user/month</t>
        </is>
      </c>
      <c r="C49" s="3" t="inlineStr">
        <is>
          <t>DeepSeek rewrite ~US$0.0002/stage x ~100 stages/user/month (measured in dev)</t>
        </is>
      </c>
      <c r="D49" s="8" t="n">
        <v>0.02</v>
      </c>
      <c r="E49" s="8" t="n">
        <v>0.015</v>
      </c>
      <c r="F49" s="8" t="n">
        <v>0.01</v>
      </c>
    </row>
    <row r="50">
      <c r="A50" s="1" t="n"/>
      <c r="B50" s="7" t="inlineStr">
        <is>
          <t>Customer support cost per user/month</t>
        </is>
      </c>
      <c r="C50" s="3" t="inlineStr">
        <is>
          <t>Telegram support channel, part-time (team estimate)</t>
        </is>
      </c>
      <c r="D50" s="8" t="n">
        <v>0.05</v>
      </c>
      <c r="E50" s="8" t="n">
        <v>0.05</v>
      </c>
      <c r="F50" s="8" t="n">
        <v>0.04</v>
      </c>
    </row>
    <row r="51">
      <c r="A51" s="1" t="n"/>
      <c r="B51" s="7" t="inlineStr">
        <is>
          <t>Payment processing fee rate</t>
        </is>
      </c>
      <c r="C51" s="3" t="inlineStr">
        <is>
          <t>KHQR / Wing / ABA merchant fee as % of revenue (assumption)</t>
        </is>
      </c>
      <c r="D51" s="11" t="n">
        <v>0.03</v>
      </c>
      <c r="E51" s="11" t="n">
        <v>0.03</v>
      </c>
      <c r="F51" s="11" t="n">
        <v>0.03</v>
      </c>
    </row>
    <row r="52">
      <c r="A52" s="1" t="n"/>
      <c r="B52" s="7" t="inlineStr">
        <is>
          <t>Payment fee per user/month</t>
        </is>
      </c>
      <c r="C52" s="3" t="inlineStr">
        <is>
          <t>Blended ARPU x payment fee rate</t>
        </is>
      </c>
      <c r="D52" s="17">
        <f>D44*D51</f>
        <v/>
      </c>
      <c r="E52" s="17">
        <f>E44*E51</f>
        <v/>
      </c>
      <c r="F52" s="17">
        <f>F44*F51</f>
        <v/>
      </c>
    </row>
    <row r="53">
      <c r="A53" s="1" t="n"/>
      <c r="B53" s="13" t="inlineStr">
        <is>
          <t>Total COGS per user/month</t>
        </is>
      </c>
      <c r="C53" s="3" t="inlineStr">
        <is>
          <t>Hosting + AI + support + payment fee</t>
        </is>
      </c>
      <c r="D53" s="18">
        <f>D48+D49+D50+D52</f>
        <v/>
      </c>
      <c r="E53" s="18">
        <f>E48+E49+E50+E52</f>
        <v/>
      </c>
      <c r="F53" s="18">
        <f>F48+F49+F50+F52</f>
        <v/>
      </c>
    </row>
    <row r="54">
      <c r="A54" s="1" t="n"/>
      <c r="B54" s="7" t="inlineStr">
        <is>
          <t>Annual COGS</t>
        </is>
      </c>
      <c r="C54" s="3" t="inlineStr">
        <is>
          <t>Average paying users x COGS per user/month x 12</t>
        </is>
      </c>
      <c r="D54" s="16">
        <f>D34*D53*12</f>
        <v/>
      </c>
      <c r="E54" s="16">
        <f>E34*E53*12</f>
        <v/>
      </c>
      <c r="F54" s="16">
        <f>F34*F53*12</f>
        <v/>
      </c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3" t="inlineStr">
        <is>
          <t>Gross profit</t>
        </is>
      </c>
      <c r="C56" s="3" t="inlineStr">
        <is>
          <t>Revenue - COGS</t>
        </is>
      </c>
      <c r="D56" s="15">
        <f>D42-D54</f>
        <v/>
      </c>
      <c r="E56" s="15">
        <f>E42-E54</f>
        <v/>
      </c>
      <c r="F56" s="15">
        <f>F42-F54</f>
        <v/>
      </c>
    </row>
    <row r="57">
      <c r="A57" s="1" t="n"/>
      <c r="B57" s="7" t="inlineStr">
        <is>
          <t>Gross margin</t>
        </is>
      </c>
      <c r="C57" s="3" t="inlineStr">
        <is>
          <t>Gross profit / revenue</t>
        </is>
      </c>
      <c r="D57" s="12">
        <f>IF(D42=0,0,D56/D42)</f>
        <v/>
      </c>
      <c r="E57" s="12">
        <f>IF(E42=0,0,E56/E42)</f>
        <v/>
      </c>
      <c r="F57" s="12">
        <f>IF(F42=0,0,F56/F42)</f>
        <v/>
      </c>
    </row>
    <row r="58">
      <c r="A58" s="1" t="n"/>
      <c r="B58" s="1" t="n"/>
      <c r="C58" s="1" t="n"/>
      <c r="D58" s="1" t="n"/>
      <c r="E58" s="1" t="n"/>
      <c r="F58" s="1" t="n"/>
    </row>
    <row r="59">
      <c r="A59" s="5" t="inlineStr">
        <is>
          <t>Sales &amp; Marketing</t>
        </is>
      </c>
      <c r="B59" s="6" t="n"/>
      <c r="C59" s="6" t="n"/>
      <c r="D59" s="6" t="n"/>
      <c r="E59" s="6" t="n"/>
      <c r="F59" s="6" t="n"/>
    </row>
    <row r="60">
      <c r="A60" s="1" t="n"/>
      <c r="B60" s="7" t="inlineStr">
        <is>
          <t>Marketing spend</t>
        </is>
      </c>
      <c r="C60" s="3" t="inlineStr">
        <is>
          <t>Facebook/TikTok ads, school events, Khmer creators (team estimate)</t>
        </is>
      </c>
      <c r="D60" s="19" t="n">
        <v>3000</v>
      </c>
      <c r="E60" s="19" t="n">
        <v>9000</v>
      </c>
      <c r="F60" s="19" t="n">
        <v>20000</v>
      </c>
    </row>
    <row r="61">
      <c r="A61" s="1" t="n"/>
      <c r="B61" s="7" t="inlineStr">
        <is>
          <t>Referral &amp; partner incentives</t>
        </is>
      </c>
      <c r="C61" s="3" t="inlineStr">
        <is>
          <t>Free-month referrals, school-visit costs (team estimate)</t>
        </is>
      </c>
      <c r="D61" s="19" t="n">
        <v>600</v>
      </c>
      <c r="E61" s="19" t="n">
        <v>2000</v>
      </c>
      <c r="F61" s="19" t="n">
        <v>5000</v>
      </c>
    </row>
    <row r="62">
      <c r="A62" s="1" t="n"/>
      <c r="B62" s="13" t="inlineStr">
        <is>
          <t>Total sales and marketing</t>
        </is>
      </c>
      <c r="C62" s="3" t="inlineStr">
        <is>
          <t>Marketing + referral incentives</t>
        </is>
      </c>
      <c r="D62" s="15">
        <f>D60+D61</f>
        <v/>
      </c>
      <c r="E62" s="15">
        <f>E60+E61</f>
        <v/>
      </c>
      <c r="F62" s="15">
        <f>F60+F61</f>
        <v/>
      </c>
    </row>
    <row r="63">
      <c r="A63" s="1" t="n"/>
      <c r="B63" s="7" t="inlineStr">
        <is>
          <t>CAC (per new B2C subscriber)</t>
        </is>
      </c>
      <c r="C63" s="3" t="inlineStr">
        <is>
          <t>Sales and marketing / (new Standard + new Premium)</t>
        </is>
      </c>
      <c r="D63" s="17">
        <f>IF((D13+D22)=0,0,D62/(D13+D22))</f>
        <v/>
      </c>
      <c r="E63" s="17">
        <f>IF((E13+E22)=0,0,E62/(E13+E22))</f>
        <v/>
      </c>
      <c r="F63" s="17">
        <f>IF((F13+F22)=0,0,F62/(F13+F22))</f>
        <v/>
      </c>
    </row>
    <row r="64">
      <c r="A64" s="1" t="n"/>
      <c r="B64" s="7" t="inlineStr">
        <is>
          <t>CAC payback (months)</t>
        </is>
      </c>
      <c r="C64" s="3" t="inlineStr">
        <is>
          <t>CAC / (blended ARPU - COGS per user/month)</t>
        </is>
      </c>
      <c r="D64" s="20">
        <f>IF((D44-D53)&lt;=0,0,D63/(D44-D53))</f>
        <v/>
      </c>
      <c r="E64" s="20">
        <f>IF((E44-E53)&lt;=0,0,E63/(E44-E53))</f>
        <v/>
      </c>
      <c r="F64" s="20">
        <f>IF((F44-F53)&lt;=0,0,F63/(F44-F53))</f>
        <v/>
      </c>
    </row>
    <row r="65">
      <c r="A65" s="1" t="n"/>
      <c r="B65" s="1" t="n"/>
      <c r="C65" s="1" t="n"/>
      <c r="D65" s="1" t="n"/>
      <c r="E65" s="1" t="n"/>
      <c r="F65" s="1" t="n"/>
    </row>
    <row r="66">
      <c r="A66" s="5" t="inlineStr">
        <is>
          <t>Operating Expenses</t>
        </is>
      </c>
      <c r="B66" s="6" t="n"/>
      <c r="C66" s="6" t="n"/>
      <c r="D66" s="6" t="n"/>
      <c r="E66" s="6" t="n"/>
      <c r="F66" s="6" t="n"/>
    </row>
    <row r="67">
      <c r="A67" s="1" t="n"/>
      <c r="B67" s="7" t="inlineStr">
        <is>
          <t>Product development payroll</t>
        </is>
      </c>
      <c r="C67" s="3" t="inlineStr">
        <is>
          <t>Founders part-time Y1, first hires Y2-Y3 (team estimate)</t>
        </is>
      </c>
      <c r="D67" s="19" t="n">
        <v>6000</v>
      </c>
      <c r="E67" s="19" t="n">
        <v>18000</v>
      </c>
      <c r="F67" s="19" t="n">
        <v>36000</v>
      </c>
    </row>
    <row r="68">
      <c r="A68" s="1" t="n"/>
      <c r="B68" s="7" t="inlineStr">
        <is>
          <t>Content writing &amp; Khmer review</t>
        </is>
      </c>
      <c r="C68" s="3" t="inlineStr">
        <is>
          <t>New scenarios monthly + over-45 reviewer per AUTHORING.md (team estimate)</t>
        </is>
      </c>
      <c r="D68" s="19" t="n">
        <v>1500</v>
      </c>
      <c r="E68" s="19" t="n">
        <v>3000</v>
      </c>
      <c r="F68" s="19" t="n">
        <v>6000</v>
      </c>
    </row>
    <row r="69">
      <c r="A69" s="1" t="n"/>
      <c r="B69" s="7" t="inlineStr">
        <is>
          <t>Founder / admin salary</t>
        </is>
      </c>
      <c r="C69" s="3" t="inlineStr">
        <is>
          <t>Cash cost only (team estimate)</t>
        </is>
      </c>
      <c r="D69" s="19" t="n">
        <v>3000</v>
      </c>
      <c r="E69" s="19" t="n">
        <v>6000</v>
      </c>
      <c r="F69" s="19" t="n">
        <v>12000</v>
      </c>
    </row>
    <row r="70">
      <c r="A70" s="1" t="n"/>
      <c r="B70" s="7" t="inlineStr">
        <is>
          <t>Software tools</t>
        </is>
      </c>
      <c r="C70" s="3" t="inlineStr">
        <is>
          <t>Domain, design tools, DeepSeek/API minimums (team estimate)</t>
        </is>
      </c>
      <c r="D70" s="19" t="n">
        <v>600</v>
      </c>
      <c r="E70" s="19" t="n">
        <v>1200</v>
      </c>
      <c r="F70" s="19" t="n">
        <v>2400</v>
      </c>
    </row>
    <row r="71">
      <c r="A71" s="1" t="n"/>
      <c r="B71" s="7" t="inlineStr">
        <is>
          <t>Office, legal and accounting</t>
        </is>
      </c>
      <c r="C71" s="3" t="inlineStr">
        <is>
          <t>Company registration, accounting (team estimate)</t>
        </is>
      </c>
      <c r="D71" s="19" t="n">
        <v>500</v>
      </c>
      <c r="E71" s="19" t="n">
        <v>1500</v>
      </c>
      <c r="F71" s="19" t="n">
        <v>3000</v>
      </c>
    </row>
    <row r="72">
      <c r="A72" s="1" t="n"/>
      <c r="B72" s="13" t="inlineStr">
        <is>
          <t>Total operating expenses</t>
        </is>
      </c>
      <c r="C72" s="3" t="inlineStr">
        <is>
          <t>Sum of operating expenses excluding sales and marketing</t>
        </is>
      </c>
      <c r="D72" s="15">
        <f>SUM(D67:D71)</f>
        <v/>
      </c>
      <c r="E72" s="15">
        <f>SUM(E67:E71)</f>
        <v/>
      </c>
      <c r="F72" s="15">
        <f>SUM(F67:F71)</f>
        <v/>
      </c>
    </row>
    <row r="73">
      <c r="A73" s="1" t="n"/>
      <c r="B73" s="1" t="n"/>
      <c r="C73" s="1" t="n"/>
      <c r="D73" s="1" t="n"/>
      <c r="E73" s="1" t="n"/>
      <c r="F73" s="1" t="n"/>
    </row>
    <row r="74">
      <c r="A74" s="5" t="inlineStr">
        <is>
          <t>Capital &amp; Depreciation</t>
        </is>
      </c>
      <c r="B74" s="6" t="n"/>
      <c r="C74" s="6" t="n"/>
      <c r="D74" s="6" t="n"/>
      <c r="E74" s="6" t="n"/>
      <c r="F74" s="6" t="n"/>
    </row>
    <row r="75">
      <c r="A75" s="1" t="n"/>
      <c r="B75" s="7" t="inlineStr">
        <is>
          <t>Depreciation and amortization</t>
        </is>
      </c>
      <c r="C75" s="3" t="inlineStr">
        <is>
          <t>Non-cash (team estimate)</t>
        </is>
      </c>
      <c r="D75" s="19" t="n">
        <v>500</v>
      </c>
      <c r="E75" s="19" t="n">
        <v>800</v>
      </c>
      <c r="F75" s="19" t="n">
        <v>1200</v>
      </c>
    </row>
    <row r="76">
      <c r="A76" s="1" t="n"/>
      <c r="B76" s="7" t="inlineStr">
        <is>
          <t>Capital expenditure</t>
        </is>
      </c>
      <c r="C76" s="3" t="inlineStr">
        <is>
          <t>Laptops, test phones (team estimate)</t>
        </is>
      </c>
      <c r="D76" s="19" t="n">
        <v>1500</v>
      </c>
      <c r="E76" s="19" t="n">
        <v>2000</v>
      </c>
      <c r="F76" s="19" t="n">
        <v>3000</v>
      </c>
    </row>
    <row r="77">
      <c r="A77" s="1" t="n"/>
      <c r="B77" s="1" t="n"/>
      <c r="C77" s="1" t="n"/>
      <c r="D77" s="1" t="n"/>
      <c r="E77" s="1" t="n"/>
      <c r="F77" s="1" t="n"/>
    </row>
    <row r="78">
      <c r="A78" s="5" t="inlineStr">
        <is>
          <t>Profitability</t>
        </is>
      </c>
      <c r="B78" s="6" t="n"/>
      <c r="C78" s="6" t="n"/>
      <c r="D78" s="6" t="n"/>
      <c r="E78" s="6" t="n"/>
      <c r="F78" s="6" t="n"/>
    </row>
    <row r="79">
      <c r="A79" s="1" t="n"/>
      <c r="B79" s="13" t="inlineStr">
        <is>
          <t>EBITDA</t>
        </is>
      </c>
      <c r="C79" s="3" t="inlineStr">
        <is>
          <t>Gross profit - sales and marketing - operating expenses</t>
        </is>
      </c>
      <c r="D79" s="15">
        <f>D56-D62-D72</f>
        <v/>
      </c>
      <c r="E79" s="15">
        <f>E56-E62-E72</f>
        <v/>
      </c>
      <c r="F79" s="15">
        <f>F56-F62-F72</f>
        <v/>
      </c>
    </row>
    <row r="80">
      <c r="A80" s="1" t="n"/>
      <c r="B80" s="7" t="inlineStr">
        <is>
          <t>EBITDA margin</t>
        </is>
      </c>
      <c r="C80" s="3" t="inlineStr">
        <is>
          <t>EBITDA / revenue</t>
        </is>
      </c>
      <c r="D80" s="12">
        <f>IF(D42=0,0,D79/D42)</f>
        <v/>
      </c>
      <c r="E80" s="12">
        <f>IF(E42=0,0,E79/E42)</f>
        <v/>
      </c>
      <c r="F80" s="12">
        <f>IF(F42=0,0,F79/F42)</f>
        <v/>
      </c>
    </row>
    <row r="81">
      <c r="A81" s="1" t="n"/>
      <c r="B81" s="7" t="inlineStr">
        <is>
          <t>EBIT / operating profit</t>
        </is>
      </c>
      <c r="C81" s="3" t="inlineStr">
        <is>
          <t>EBITDA - depreciation and amortization</t>
        </is>
      </c>
      <c r="D81" s="16">
        <f>D79-D75</f>
        <v/>
      </c>
      <c r="E81" s="16">
        <f>E79-E75</f>
        <v/>
      </c>
      <c r="F81" s="16">
        <f>F79-F75</f>
        <v/>
      </c>
    </row>
    <row r="82">
      <c r="A82" s="1" t="n"/>
      <c r="B82" s="7" t="inlineStr">
        <is>
          <t>Tax rate</t>
        </is>
      </c>
      <c r="C82" s="3" t="inlineStr">
        <is>
          <t>Cambodia corporate income tax 20% (General Department of Taxation)</t>
        </is>
      </c>
      <c r="D82" s="11" t="n">
        <v>0.2</v>
      </c>
      <c r="E82" s="11" t="n">
        <v>0.2</v>
      </c>
      <c r="F82" s="11" t="n">
        <v>0.2</v>
      </c>
    </row>
    <row r="83">
      <c r="A83" s="1" t="n"/>
      <c r="B83" s="7" t="inlineStr">
        <is>
          <t>Income tax</t>
        </is>
      </c>
      <c r="C83" s="3" t="inlineStr">
        <is>
          <t>MAX(0, EBIT x tax rate)</t>
        </is>
      </c>
      <c r="D83" s="16">
        <f>MAX(0,D81*D82)</f>
        <v/>
      </c>
      <c r="E83" s="16">
        <f>MAX(0,E81*E82)</f>
        <v/>
      </c>
      <c r="F83" s="16">
        <f>MAX(0,F81*F82)</f>
        <v/>
      </c>
    </row>
    <row r="84">
      <c r="A84" s="1" t="n"/>
      <c r="B84" s="13" t="inlineStr">
        <is>
          <t>Net profit</t>
        </is>
      </c>
      <c r="C84" s="3" t="inlineStr">
        <is>
          <t>EBIT - income tax</t>
        </is>
      </c>
      <c r="D84" s="15">
        <f>D81-D83</f>
        <v/>
      </c>
      <c r="E84" s="15">
        <f>E81-E83</f>
        <v/>
      </c>
      <c r="F84" s="15">
        <f>F81-F83</f>
        <v/>
      </c>
    </row>
    <row r="85">
      <c r="A85" s="1" t="n"/>
      <c r="B85" s="7" t="inlineStr">
        <is>
          <t>Net profit margin</t>
        </is>
      </c>
      <c r="C85" s="3" t="inlineStr">
        <is>
          <t>Net profit / revenue</t>
        </is>
      </c>
      <c r="D85" s="12">
        <f>IF(D42=0,0,D84/D42)</f>
        <v/>
      </c>
      <c r="E85" s="12">
        <f>IF(E42=0,0,E84/E42)</f>
        <v/>
      </c>
      <c r="F85" s="12">
        <f>IF(F42=0,0,F84/F42)</f>
        <v/>
      </c>
    </row>
    <row r="86">
      <c r="A86" s="1" t="n"/>
      <c r="B86" s="1" t="n"/>
      <c r="C86" s="1" t="n"/>
      <c r="D86" s="1" t="n"/>
      <c r="E86" s="1" t="n"/>
      <c r="F86" s="1" t="n"/>
    </row>
    <row r="87">
      <c r="A87" s="5" t="inlineStr">
        <is>
          <t>Break-Even</t>
        </is>
      </c>
      <c r="B87" s="6" t="n"/>
      <c r="C87" s="6" t="n"/>
      <c r="D87" s="6" t="n"/>
      <c r="E87" s="6" t="n"/>
      <c r="F87" s="6" t="n"/>
    </row>
    <row r="88">
      <c r="A88" s="1" t="n"/>
      <c r="B88" s="7" t="inlineStr">
        <is>
          <t>Monthly gross profit per user</t>
        </is>
      </c>
      <c r="C88" s="3" t="inlineStr">
        <is>
          <t>Blended ARPU - COGS per user/month</t>
        </is>
      </c>
      <c r="D88" s="17">
        <f>D44-D53</f>
        <v/>
      </c>
      <c r="E88" s="17">
        <f>E44-E53</f>
        <v/>
      </c>
      <c r="F88" s="17">
        <f>F44-F53</f>
        <v/>
      </c>
    </row>
    <row r="89">
      <c r="A89" s="1" t="n"/>
      <c r="B89" s="7" t="inlineStr">
        <is>
          <t>Monthly fixed cash cost</t>
        </is>
      </c>
      <c r="C89" s="3" t="inlineStr">
        <is>
          <t>(Sales and marketing + operating expenses) / 12</t>
        </is>
      </c>
      <c r="D89" s="16">
        <f>(D62+D72)/12</f>
        <v/>
      </c>
      <c r="E89" s="16">
        <f>(E62+E72)/12</f>
        <v/>
      </c>
      <c r="F89" s="16">
        <f>(F62+F72)/12</f>
        <v/>
      </c>
    </row>
    <row r="90">
      <c r="A90" s="1" t="n"/>
      <c r="B90" s="13" t="inlineStr">
        <is>
          <t>Break-even paying users</t>
        </is>
      </c>
      <c r="C90" s="3" t="inlineStr">
        <is>
          <t>Fixed cost / monthly gross profit per user</t>
        </is>
      </c>
      <c r="D90" s="14">
        <f>IF(D88&lt;=0,0,D89/D88)</f>
        <v/>
      </c>
      <c r="E90" s="14">
        <f>IF(E88&lt;=0,0,E89/E88)</f>
        <v/>
      </c>
      <c r="F90" s="14">
        <f>IF(F88&lt;=0,0,F89/F88)</f>
        <v/>
      </c>
    </row>
    <row r="91">
      <c r="A91" s="1" t="n"/>
      <c r="B91" s="7" t="inlineStr">
        <is>
          <t>Break-even MRR</t>
        </is>
      </c>
      <c r="C91" s="3" t="inlineStr">
        <is>
          <t>Break-even users x blended ARPU</t>
        </is>
      </c>
      <c r="D91" s="16">
        <f>D90*D44</f>
        <v/>
      </c>
      <c r="E91" s="16">
        <f>E90*E44</f>
        <v/>
      </c>
      <c r="F91" s="16">
        <f>F90*F44</f>
        <v/>
      </c>
    </row>
    <row r="92">
      <c r="A92" s="1" t="n"/>
      <c r="B92" s="7" t="inlineStr">
        <is>
          <t>Break-even ARR</t>
        </is>
      </c>
      <c r="C92" s="3" t="inlineStr">
        <is>
          <t>Break-even MRR x 12</t>
        </is>
      </c>
      <c r="D92" s="16">
        <f>D91*12</f>
        <v/>
      </c>
      <c r="E92" s="16">
        <f>E91*12</f>
        <v/>
      </c>
      <c r="F92" s="16">
        <f>F91*12</f>
        <v/>
      </c>
    </row>
    <row r="93">
      <c r="A93" s="1" t="n"/>
      <c r="B93" s="1" t="n"/>
      <c r="C93" s="1" t="n"/>
      <c r="D93" s="1" t="n"/>
      <c r="E93" s="1" t="n"/>
      <c r="F93" s="1" t="n"/>
    </row>
    <row r="94">
      <c r="A94" s="5" t="inlineStr">
        <is>
          <t>Cash Flow</t>
        </is>
      </c>
      <c r="B94" s="6" t="n"/>
      <c r="C94" s="6" t="n"/>
      <c r="D94" s="6" t="n"/>
      <c r="E94" s="6" t="n"/>
      <c r="F94" s="6" t="n"/>
    </row>
    <row r="95">
      <c r="A95" s="1" t="n"/>
      <c r="B95" s="7" t="inlineStr">
        <is>
          <t>Beginning cash</t>
        </is>
      </c>
      <c r="C95" s="3" t="inlineStr">
        <is>
          <t>Year 1 input (competition prize / founder funds); later years link to prior ending cash</t>
        </is>
      </c>
      <c r="D95" s="19" t="n">
        <v>15000</v>
      </c>
      <c r="E95" s="16">
        <f>D98</f>
        <v/>
      </c>
      <c r="F95" s="16">
        <f>E98</f>
        <v/>
      </c>
    </row>
    <row r="96">
      <c r="A96" s="1" t="n"/>
      <c r="B96" s="7" t="inlineStr">
        <is>
          <t>Operating cash flow</t>
        </is>
      </c>
      <c r="C96" s="3" t="inlineStr">
        <is>
          <t>Net profit + depreciation and amortization</t>
        </is>
      </c>
      <c r="D96" s="16">
        <f>D84+D75</f>
        <v/>
      </c>
      <c r="E96" s="16">
        <f>E84+E75</f>
        <v/>
      </c>
      <c r="F96" s="16">
        <f>F84+F75</f>
        <v/>
      </c>
    </row>
    <row r="97">
      <c r="A97" s="1" t="n"/>
      <c r="B97" s="13" t="inlineStr">
        <is>
          <t>Free cash flow</t>
        </is>
      </c>
      <c r="C97" s="3" t="inlineStr">
        <is>
          <t>Operating cash flow - capital expenditure</t>
        </is>
      </c>
      <c r="D97" s="15">
        <f>D96-D76</f>
        <v/>
      </c>
      <c r="E97" s="15">
        <f>E96-E76</f>
        <v/>
      </c>
      <c r="F97" s="15">
        <f>F96-F76</f>
        <v/>
      </c>
    </row>
    <row r="98">
      <c r="A98" s="1" t="n"/>
      <c r="B98" s="13" t="inlineStr">
        <is>
          <t>Ending cash</t>
        </is>
      </c>
      <c r="C98" s="3" t="inlineStr">
        <is>
          <t>Beginning cash + free cash flow</t>
        </is>
      </c>
      <c r="D98" s="15">
        <f>D95+D97</f>
        <v/>
      </c>
      <c r="E98" s="15">
        <f>E95+E97</f>
        <v/>
      </c>
      <c r="F98" s="15">
        <f>F95+F97</f>
        <v/>
      </c>
    </row>
    <row r="99">
      <c r="A99" s="1" t="n"/>
      <c r="B99" s="7" t="inlineStr">
        <is>
          <t>Monthly burn rate</t>
        </is>
      </c>
      <c r="C99" s="3" t="inlineStr">
        <is>
          <t>If free cash flow is negative, ABS(free cash flow) / 12</t>
        </is>
      </c>
      <c r="D99" s="16">
        <f>IF(D97&lt;0,ABS(D97)/12,0)</f>
        <v/>
      </c>
      <c r="E99" s="16">
        <f>IF(E97&lt;0,ABS(E97)/12,0)</f>
        <v/>
      </c>
      <c r="F99" s="16">
        <f>IF(F97&lt;0,ABS(F97)/12,0)</f>
        <v/>
      </c>
    </row>
    <row r="100">
      <c r="A100" s="1" t="n"/>
      <c r="B100" s="7" t="inlineStr">
        <is>
          <t>Runway (months)</t>
        </is>
      </c>
      <c r="C100" s="3" t="inlineStr">
        <is>
          <t>Ending cash / monthly burn when burning cash</t>
        </is>
      </c>
      <c r="D100" s="20">
        <f>IF(D99&gt;0,D98/D99,"")</f>
        <v/>
      </c>
      <c r="E100" s="20">
        <f>IF(E99&gt;0,E98/E99,"")</f>
        <v/>
      </c>
      <c r="F100" s="20">
        <f>IF(F99&gt;0,F98/F99,"")</f>
        <v/>
      </c>
    </row>
    <row r="101">
      <c r="A101" s="1" t="n"/>
      <c r="B101" s="1" t="n"/>
      <c r="C101" s="1" t="n"/>
      <c r="D101" s="1" t="n"/>
      <c r="E101" s="1" t="n"/>
      <c r="F101" s="1" t="n"/>
    </row>
    <row r="102">
      <c r="A102" s="5" t="inlineStr">
        <is>
          <t>Investor Ratios</t>
        </is>
      </c>
      <c r="B102" s="6" t="n"/>
      <c r="C102" s="6" t="n"/>
      <c r="D102" s="6" t="n"/>
      <c r="E102" s="6" t="n"/>
      <c r="F102" s="6" t="n"/>
    </row>
    <row r="103">
      <c r="A103" s="1" t="n"/>
      <c r="B103" s="7" t="inlineStr">
        <is>
          <t>Customer lifetime — Standard (months)</t>
        </is>
      </c>
      <c r="C103" s="3" t="inlineStr">
        <is>
          <t>1 / monthly churn</t>
        </is>
      </c>
      <c r="D103" s="20">
        <f>1/D14</f>
        <v/>
      </c>
      <c r="E103" s="20">
        <f>1/E14</f>
        <v/>
      </c>
      <c r="F103" s="20">
        <f>1/F14</f>
        <v/>
      </c>
    </row>
    <row r="104">
      <c r="A104" s="1" t="n"/>
      <c r="B104" s="7" t="inlineStr">
        <is>
          <t>Customer lifetime — Premium (months)</t>
        </is>
      </c>
      <c r="C104" s="3" t="inlineStr">
        <is>
          <t>1 / monthly churn</t>
        </is>
      </c>
      <c r="D104" s="20">
        <f>1/D23</f>
        <v/>
      </c>
      <c r="E104" s="20">
        <f>1/E23</f>
        <v/>
      </c>
      <c r="F104" s="20">
        <f>1/F23</f>
        <v/>
      </c>
    </row>
    <row r="105">
      <c r="A105" s="1" t="n"/>
      <c r="B105" s="7" t="inlineStr">
        <is>
          <t>LTV — Standard</t>
        </is>
      </c>
      <c r="C105" s="3" t="inlineStr">
        <is>
          <t>Fee x gross margin / monthly churn</t>
        </is>
      </c>
      <c r="D105" s="17">
        <f>D7*D57/D14</f>
        <v/>
      </c>
      <c r="E105" s="17">
        <f>E7*E57/E14</f>
        <v/>
      </c>
      <c r="F105" s="17">
        <f>F7*F57/F14</f>
        <v/>
      </c>
    </row>
    <row r="106">
      <c r="A106" s="1" t="n"/>
      <c r="B106" s="7" t="inlineStr">
        <is>
          <t>LTV — Premium</t>
        </is>
      </c>
      <c r="C106" s="3" t="inlineStr">
        <is>
          <t>Fee x gross margin / monthly churn</t>
        </is>
      </c>
      <c r="D106" s="17">
        <f>D8*D57/D23</f>
        <v/>
      </c>
      <c r="E106" s="17">
        <f>E8*E57/E23</f>
        <v/>
      </c>
      <c r="F106" s="17">
        <f>F8*F57/F23</f>
        <v/>
      </c>
    </row>
    <row r="107">
      <c r="A107" s="1" t="n"/>
      <c r="B107" s="7" t="inlineStr">
        <is>
          <t>LTV:CAC — Standard</t>
        </is>
      </c>
      <c r="C107" s="3" t="inlineStr">
        <is>
          <t>LTV / CAC</t>
        </is>
      </c>
      <c r="D107" s="21">
        <f>IF(D63=0,0,D105/D63)</f>
        <v/>
      </c>
      <c r="E107" s="21">
        <f>IF(E63=0,0,E105/E63)</f>
        <v/>
      </c>
      <c r="F107" s="21">
        <f>IF(F63=0,0,F105/F63)</f>
        <v/>
      </c>
    </row>
    <row r="108">
      <c r="A108" s="1" t="n"/>
      <c r="B108" s="7" t="inlineStr">
        <is>
          <t>LTV:CAC — Premium</t>
        </is>
      </c>
      <c r="C108" s="3" t="inlineStr">
        <is>
          <t>LTV / CAC</t>
        </is>
      </c>
      <c r="D108" s="21">
        <f>IF(D63=0,0,D106/D63)</f>
        <v/>
      </c>
      <c r="E108" s="21">
        <f>IF(E63=0,0,E106/E63)</f>
        <v/>
      </c>
      <c r="F108" s="21">
        <f>IF(F63=0,0,F106/F63)</f>
        <v/>
      </c>
    </row>
    <row r="109">
      <c r="A109" s="1" t="n"/>
      <c r="B109" s="1" t="n"/>
      <c r="C109" s="1" t="n"/>
      <c r="D109" s="1" t="n"/>
      <c r="E109" s="1" t="n"/>
      <c r="F109" s="1" t="n"/>
    </row>
    <row r="110">
      <c r="A110" s="13" t="inlineStr">
        <is>
          <t>Notes &amp; sources</t>
        </is>
      </c>
    </row>
    <row r="111" ht="28" customHeight="1">
      <c r="A111" s="22" t="inlineStr">
        <is>
          <t>1. Prices ($1.50 Standard, $2.50 Premium, $1.50/student school licence) are the team's pricing decision for Cambodia's price-sensitive market; the pitch deck's $3/$5 draft was lowered per its own validation note.</t>
        </is>
      </c>
    </row>
    <row r="112" ht="28" customHeight="1">
      <c r="A112" s="22" t="inlineStr">
        <is>
          <t>2. Subscriber, churn, marketing and payroll figures are team estimates for a pre-revenue startup — replace with survey/pilot data before pitching. Judges will ask how each number was obtained.</t>
        </is>
      </c>
    </row>
    <row r="113" ht="28" customHeight="1">
      <c r="A113" s="22" t="inlineStr">
        <is>
          <t>3. AI dialogue cost: DeepSeek 'deepseek-flash' measured at roughly US$0.0002 per rewritten stage during development; the feature is optional (PRAYAT_AI flag) so this line can be set to 0.</t>
        </is>
      </c>
    </row>
    <row r="114" ht="28" customHeight="1">
      <c r="A114" s="22" t="inlineStr">
        <is>
          <t>4. Payment fee 3% is an assumption for KHQR / Wing / ABA merchant collection; confirm the actual merchant rate with the provider.</t>
        </is>
      </c>
    </row>
    <row r="115" ht="28" customHeight="1">
      <c r="A115" s="22" t="inlineStr">
        <is>
          <t>5. Tax rate 20% is Cambodia's standard corporate income tax (General Department of Taxation). Losses are not carried forward in this simple model.</t>
        </is>
      </c>
    </row>
    <row r="116" ht="28" customHeight="1">
      <c r="A116" s="22" t="inlineStr">
        <is>
          <t>6. Year 1 beginning cash of $15,000 assumes competition prize money plus founder contribution — edit to your real figure.</t>
        </is>
      </c>
    </row>
  </sheetData>
  <mergeCells count="6">
    <mergeCell ref="A113:F113"/>
    <mergeCell ref="A115:F115"/>
    <mergeCell ref="A112:F112"/>
    <mergeCell ref="A116:F116"/>
    <mergeCell ref="A111:F111"/>
    <mergeCell ref="A114:F1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Prayat — 3-year summary</t>
        </is>
      </c>
    </row>
    <row r="2">
      <c r="A2" s="3" t="inlineStr">
        <is>
          <t>Every cell links to the Financial Projection sheet (green). Edit assumptions there, not here.</t>
        </is>
      </c>
    </row>
    <row r="4">
      <c r="A4" s="23" t="inlineStr">
        <is>
          <t>Metric</t>
        </is>
      </c>
      <c r="B4" s="23" t="inlineStr">
        <is>
          <t>Year 1</t>
        </is>
      </c>
      <c r="C4" s="23" t="inlineStr">
        <is>
          <t>Year 2</t>
        </is>
      </c>
      <c r="D4" s="23" t="inlineStr">
        <is>
          <t>Year 3</t>
        </is>
      </c>
    </row>
    <row r="5">
      <c r="A5" s="7" t="inlineStr">
        <is>
          <t>Ending B2C subscribers</t>
        </is>
      </c>
      <c r="B5" s="24">
        <f>'Financial Projection'!D33</f>
        <v/>
      </c>
      <c r="C5" s="24">
        <f>'Financial Projection'!E33</f>
        <v/>
      </c>
      <c r="D5" s="24">
        <f>'Financial Projection'!F33</f>
        <v/>
      </c>
    </row>
    <row r="6">
      <c r="A6" s="7" t="inlineStr">
        <is>
          <t>Licensed students</t>
        </is>
      </c>
      <c r="B6" s="24">
        <f>'Financial Projection'!D30</f>
        <v/>
      </c>
      <c r="C6" s="24">
        <f>'Financial Projection'!E30</f>
        <v/>
      </c>
      <c r="D6" s="24">
        <f>'Financial Projection'!F30</f>
        <v/>
      </c>
    </row>
    <row r="7">
      <c r="A7" s="7" t="inlineStr">
        <is>
          <t>Ending MRR</t>
        </is>
      </c>
      <c r="B7" s="25">
        <f>'Financial Projection'!D35</f>
        <v/>
      </c>
      <c r="C7" s="25">
        <f>'Financial Projection'!E35</f>
        <v/>
      </c>
      <c r="D7" s="25">
        <f>'Financial Projection'!F35</f>
        <v/>
      </c>
    </row>
    <row r="8">
      <c r="A8" s="7" t="inlineStr">
        <is>
          <t>Total revenue</t>
        </is>
      </c>
      <c r="B8" s="25">
        <f>'Financial Projection'!D42</f>
        <v/>
      </c>
      <c r="C8" s="25">
        <f>'Financial Projection'!E42</f>
        <v/>
      </c>
      <c r="D8" s="25">
        <f>'Financial Projection'!F42</f>
        <v/>
      </c>
    </row>
    <row r="9">
      <c r="A9" s="7" t="inlineStr">
        <is>
          <t>Revenue growth</t>
        </is>
      </c>
      <c r="B9" s="26">
        <f>'Financial Projection'!D43</f>
        <v/>
      </c>
      <c r="C9" s="26">
        <f>'Financial Projection'!E43</f>
        <v/>
      </c>
      <c r="D9" s="26">
        <f>'Financial Projection'!F43</f>
        <v/>
      </c>
    </row>
    <row r="10">
      <c r="A10" s="7" t="inlineStr">
        <is>
          <t>Gross margin</t>
        </is>
      </c>
      <c r="B10" s="26">
        <f>'Financial Projection'!D57</f>
        <v/>
      </c>
      <c r="C10" s="26">
        <f>'Financial Projection'!E57</f>
        <v/>
      </c>
      <c r="D10" s="26">
        <f>'Financial Projection'!F57</f>
        <v/>
      </c>
    </row>
    <row r="11">
      <c r="A11" s="7" t="inlineStr">
        <is>
          <t>Sales and marketing</t>
        </is>
      </c>
      <c r="B11" s="25">
        <f>'Financial Projection'!D62</f>
        <v/>
      </c>
      <c r="C11" s="25">
        <f>'Financial Projection'!E62</f>
        <v/>
      </c>
      <c r="D11" s="25">
        <f>'Financial Projection'!F62</f>
        <v/>
      </c>
    </row>
    <row r="12">
      <c r="A12" s="7" t="inlineStr">
        <is>
          <t>Operating expenses</t>
        </is>
      </c>
      <c r="B12" s="25">
        <f>'Financial Projection'!D72</f>
        <v/>
      </c>
      <c r="C12" s="25">
        <f>'Financial Projection'!E72</f>
        <v/>
      </c>
      <c r="D12" s="25">
        <f>'Financial Projection'!F72</f>
        <v/>
      </c>
    </row>
    <row r="13">
      <c r="A13" s="7" t="inlineStr">
        <is>
          <t>EBITDA</t>
        </is>
      </c>
      <c r="B13" s="25">
        <f>'Financial Projection'!D79</f>
        <v/>
      </c>
      <c r="C13" s="25">
        <f>'Financial Projection'!E79</f>
        <v/>
      </c>
      <c r="D13" s="25">
        <f>'Financial Projection'!F79</f>
        <v/>
      </c>
    </row>
    <row r="14">
      <c r="A14" s="7" t="inlineStr">
        <is>
          <t>Net profit</t>
        </is>
      </c>
      <c r="B14" s="25">
        <f>'Financial Projection'!D84</f>
        <v/>
      </c>
      <c r="C14" s="25">
        <f>'Financial Projection'!E84</f>
        <v/>
      </c>
      <c r="D14" s="25">
        <f>'Financial Projection'!F84</f>
        <v/>
      </c>
    </row>
    <row r="15">
      <c r="A15" s="7" t="inlineStr">
        <is>
          <t>Ending cash</t>
        </is>
      </c>
      <c r="B15" s="25">
        <f>'Financial Projection'!D98</f>
        <v/>
      </c>
      <c r="C15" s="25">
        <f>'Financial Projection'!E98</f>
        <v/>
      </c>
      <c r="D15" s="25">
        <f>'Financial Projection'!F98</f>
        <v/>
      </c>
    </row>
    <row r="16">
      <c r="A16" s="7" t="inlineStr">
        <is>
          <t>Break-even paying users</t>
        </is>
      </c>
      <c r="B16" s="24">
        <f>'Financial Projection'!D90</f>
        <v/>
      </c>
      <c r="C16" s="24">
        <f>'Financial Projection'!E90</f>
        <v/>
      </c>
      <c r="D16" s="24">
        <f>'Financial Projection'!F90</f>
        <v/>
      </c>
    </row>
    <row r="17">
      <c r="A17" s="7" t="inlineStr">
        <is>
          <t>CAC</t>
        </is>
      </c>
      <c r="B17" s="27">
        <f>'Financial Projection'!D63</f>
        <v/>
      </c>
      <c r="C17" s="27">
        <f>'Financial Projection'!E63</f>
        <v/>
      </c>
      <c r="D17" s="27">
        <f>'Financial Projection'!F63</f>
        <v/>
      </c>
    </row>
    <row r="18">
      <c r="A18" s="7" t="inlineStr">
        <is>
          <t>LTV:CAC — Standard</t>
        </is>
      </c>
      <c r="B18" s="28">
        <f>'Financial Projection'!D107</f>
        <v/>
      </c>
      <c r="C18" s="28">
        <f>'Financial Projection'!E107</f>
        <v/>
      </c>
      <c r="D18" s="28">
        <f>'Financial Projection'!F107</f>
        <v/>
      </c>
    </row>
    <row r="19">
      <c r="A19" s="7" t="inlineStr">
        <is>
          <t>LTV:CAC — Premium</t>
        </is>
      </c>
      <c r="B19" s="28">
        <f>'Financial Projection'!D108</f>
        <v/>
      </c>
      <c r="C19" s="28">
        <f>'Financial Projection'!E108</f>
        <v/>
      </c>
      <c r="D19" s="28">
        <f>'Financial Projection'!F108</f>
        <v/>
      </c>
    </row>
    <row r="21">
      <c r="A21" s="7" t="inlineStr">
        <is>
          <t>Year 3 / Year 1 revenue</t>
        </is>
      </c>
      <c r="B21" s="29">
        <f>IF(B8=0,0,D8/B8)</f>
        <v/>
      </c>
    </row>
    <row r="22">
      <c r="A22" s="7" t="inlineStr">
        <is>
          <t>Average annual revenue growth</t>
        </is>
      </c>
      <c r="B22" s="30">
        <f>AVERAGE(C9:D9)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2026-09-18T03:34:01Z</dcterms:created>
  <dcterms:modified xsi:type="dcterms:W3CDTF">2026-09-18T03:34:01Z</dcterms:modified>
</cp:coreProperties>
</file>